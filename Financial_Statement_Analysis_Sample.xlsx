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Statements" sheetId="2" state="visible" r:id="rId4"/>
    <sheet name="Rat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<sst xmlns="http://schemas.openxmlformats.org/spreadsheetml/2006/main" count="54" uniqueCount="50">
  <si>
    <t xml:space="preserve">Financial Statement Analysis (sample)</t>
  </si>
  <si>
    <t xml:space="preserve">Purpose: calculate common ratios from an income statement and balance sheet for two years and describe how the business changed.</t>
  </si>
  <si>
    <t xml:space="preserve">The company, 'Sample Retail Co.', and all numbers are FICTIONAL and were created for practice. They are not from any real company.</t>
  </si>
  <si>
    <t xml:space="preserve">Tabs: Statements (inputs and subtotals), Ratios (formulas and year-over-year change).</t>
  </si>
  <si>
    <t xml:space="preserve">Colors: blue text = typed-in inputs, black text = formulas, yellow fill = assumption cells you can change.</t>
  </si>
  <si>
    <t xml:space="preserve">Units: US dollars in thousands.</t>
  </si>
  <si>
    <t xml:space="preserve">Simplifications: ROE and inventory turnover use year-end balances instead of averages, and the tax rate is a flat assumption.</t>
  </si>
  <si>
    <t xml:space="preserve">Sample Retail Co. - Financial Statements ($ in thousands, fictional)</t>
  </si>
  <si>
    <t xml:space="preserve">Income tax rate (assumption)</t>
  </si>
  <si>
    <t xml:space="preserve">Income Statement</t>
  </si>
  <si>
    <t xml:space="preserve">FY2024</t>
  </si>
  <si>
    <t xml:space="preserve">FY2025</t>
  </si>
  <si>
    <t xml:space="preserve">Revenue</t>
  </si>
  <si>
    <t xml:space="preserve">Cost of goods sold</t>
  </si>
  <si>
    <t xml:space="preserve">Gross profit</t>
  </si>
  <si>
    <t xml:space="preserve">Operating expenses</t>
  </si>
  <si>
    <t xml:space="preserve">Operating income</t>
  </si>
  <si>
    <t xml:space="preserve">Interest expense</t>
  </si>
  <si>
    <t xml:space="preserve">Income before tax</t>
  </si>
  <si>
    <t xml:space="preserve">Income tax expense</t>
  </si>
  <si>
    <t xml:space="preserve">Net income</t>
  </si>
  <si>
    <t xml:space="preserve">Balance Sheet</t>
  </si>
  <si>
    <t xml:space="preserve">Cash</t>
  </si>
  <si>
    <t xml:space="preserve">Accounts receivable</t>
  </si>
  <si>
    <t xml:space="preserve">Inventory</t>
  </si>
  <si>
    <t xml:space="preserve">Total current assets</t>
  </si>
  <si>
    <t xml:space="preserve">Property and equipment, net</t>
  </si>
  <si>
    <t xml:space="preserve">Total assets</t>
  </si>
  <si>
    <t xml:space="preserve">Accounts payable</t>
  </si>
  <si>
    <t xml:space="preserve">Short-term debt</t>
  </si>
  <si>
    <t xml:space="preserve">Total current liabilities</t>
  </si>
  <si>
    <t xml:space="preserve">Long-term debt</t>
  </si>
  <si>
    <t xml:space="preserve">Total liabilities</t>
  </si>
  <si>
    <t xml:space="preserve">Shareholders' equity</t>
  </si>
  <si>
    <t xml:space="preserve">Total liabilities and equity</t>
  </si>
  <si>
    <t xml:space="preserve">Balance check (assets - liabilities and equity)</t>
  </si>
  <si>
    <t xml:space="preserve">Ratio Analysis</t>
  </si>
  <si>
    <t xml:space="preserve">Ratio</t>
  </si>
  <si>
    <t xml:space="preserve">Change</t>
  </si>
  <si>
    <t xml:space="preserve">Direction</t>
  </si>
  <si>
    <t xml:space="preserve">Gross margin</t>
  </si>
  <si>
    <t xml:space="preserve">Operating margin</t>
  </si>
  <si>
    <t xml:space="preserve">Net profit margin</t>
  </si>
  <si>
    <t xml:space="preserve">Current ratio</t>
  </si>
  <si>
    <t xml:space="preserve">Quick ratio</t>
  </si>
  <si>
    <t xml:space="preserve">Debt-to-equity</t>
  </si>
  <si>
    <t xml:space="preserve">Return on equity</t>
  </si>
  <si>
    <t xml:space="preserve">Inventory turnover</t>
  </si>
  <si>
    <t xml:space="preserve">Revenue growth (FY2025 vs FY2024)</t>
  </si>
  <si>
    <t xml:space="preserve">How to read: margins and returns going up is generally favorable; debt-to-equity going down means less leverage. 'Direction' only shows the sign of the change, not whether it is good.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</si>
</sst>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;&quot;($&quot;#,##0\);\-"/>
    <numFmt numFmtId="167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424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424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3" t="s">
        <v>8</v>
      </c>
      <c r="B2" s="4" t="n">
        <v>0.25</v>
      </c>
    </row>
    <row r="4" customFormat="false" ht="15" hidden="false" customHeight="false" outlineLevel="0" collapsed="false">
      <c r="A4" s="5" t="s">
        <v>9</v>
      </c>
      <c r="B4" s="5" t="s">
        <v>10</v>
      </c>
      <c r="C4" s="5" t="s">
        <v>11</v>
      </c>
    </row>
    <row r="5" customFormat="false" ht="15" hidden="false" customHeight="false" outlineLevel="0" collapsed="false">
      <c r="A5" s="3" t="s">
        <v>12</v>
      </c>
      <c r="B5" s="6" t="n">
        <v>2000</v>
      </c>
      <c r="C5" s="6" t="n">
        <v>2300</v>
      </c>
    </row>
    <row r="6" customFormat="false" ht="15" hidden="false" customHeight="false" outlineLevel="0" collapsed="false">
      <c r="A6" s="3" t="s">
        <v>13</v>
      </c>
      <c r="B6" s="6" t="n">
        <v>1300</v>
      </c>
      <c r="C6" s="6" t="n">
        <v>1450</v>
      </c>
    </row>
    <row r="7" customFormat="false" ht="15" hidden="false" customHeight="false" outlineLevel="0" collapsed="false">
      <c r="A7" s="7" t="s">
        <v>14</v>
      </c>
      <c r="B7" s="8" t="n">
        <f aca="false">B5-B6</f>
        <v>700</v>
      </c>
      <c r="C7" s="8" t="n">
        <f aca="false">C5-C6</f>
        <v>850</v>
      </c>
    </row>
    <row r="8" customFormat="false" ht="15" hidden="false" customHeight="false" outlineLevel="0" collapsed="false">
      <c r="A8" s="3" t="s">
        <v>15</v>
      </c>
      <c r="B8" s="6" t="n">
        <v>450</v>
      </c>
      <c r="C8" s="6" t="n">
        <v>520</v>
      </c>
    </row>
    <row r="9" customFormat="false" ht="15" hidden="false" customHeight="false" outlineLevel="0" collapsed="false">
      <c r="A9" s="7" t="s">
        <v>16</v>
      </c>
      <c r="B9" s="8" t="n">
        <f aca="false">B7-B8</f>
        <v>250</v>
      </c>
      <c r="C9" s="8" t="n">
        <f aca="false">C7-C8</f>
        <v>330</v>
      </c>
    </row>
    <row r="10" customFormat="false" ht="15" hidden="false" customHeight="false" outlineLevel="0" collapsed="false">
      <c r="A10" s="3" t="s">
        <v>17</v>
      </c>
      <c r="B10" s="6" t="n">
        <v>30</v>
      </c>
      <c r="C10" s="6" t="n">
        <v>28</v>
      </c>
    </row>
    <row r="11" customFormat="false" ht="15" hidden="false" customHeight="false" outlineLevel="0" collapsed="false">
      <c r="A11" s="7" t="s">
        <v>18</v>
      </c>
      <c r="B11" s="8" t="n">
        <f aca="false">B9-B10</f>
        <v>220</v>
      </c>
      <c r="C11" s="8" t="n">
        <f aca="false">C9-C10</f>
        <v>302</v>
      </c>
    </row>
    <row r="12" customFormat="false" ht="15" hidden="false" customHeight="false" outlineLevel="0" collapsed="false">
      <c r="A12" s="3" t="s">
        <v>19</v>
      </c>
      <c r="B12" s="9" t="n">
        <f aca="false">ROUND(B11*$B$2,0)</f>
        <v>55</v>
      </c>
      <c r="C12" s="9" t="n">
        <f aca="false">ROUND(C11*$B$2,0)</f>
        <v>76</v>
      </c>
    </row>
    <row r="13" customFormat="false" ht="15" hidden="false" customHeight="false" outlineLevel="0" collapsed="false">
      <c r="A13" s="7" t="s">
        <v>20</v>
      </c>
      <c r="B13" s="8" t="n">
        <f aca="false">B11-B12</f>
        <v>165</v>
      </c>
      <c r="C13" s="8" t="n">
        <f aca="false">C11-C12</f>
        <v>226</v>
      </c>
    </row>
    <row r="15" customFormat="false" ht="15" hidden="false" customHeight="false" outlineLevel="0" collapsed="false">
      <c r="A15" s="5" t="s">
        <v>21</v>
      </c>
      <c r="B15" s="5" t="s">
        <v>10</v>
      </c>
      <c r="C15" s="5" t="s">
        <v>11</v>
      </c>
    </row>
    <row r="16" customFormat="false" ht="15" hidden="false" customHeight="false" outlineLevel="0" collapsed="false">
      <c r="A16" s="3" t="s">
        <v>22</v>
      </c>
      <c r="B16" s="6" t="n">
        <v>150</v>
      </c>
      <c r="C16" s="6" t="n">
        <v>180</v>
      </c>
    </row>
    <row r="17" customFormat="false" ht="15" hidden="false" customHeight="false" outlineLevel="0" collapsed="false">
      <c r="A17" s="3" t="s">
        <v>23</v>
      </c>
      <c r="B17" s="6" t="n">
        <v>110</v>
      </c>
      <c r="C17" s="6" t="n">
        <v>120</v>
      </c>
    </row>
    <row r="18" customFormat="false" ht="15" hidden="false" customHeight="false" outlineLevel="0" collapsed="false">
      <c r="A18" s="3" t="s">
        <v>24</v>
      </c>
      <c r="B18" s="6" t="n">
        <v>240</v>
      </c>
      <c r="C18" s="6" t="n">
        <v>260</v>
      </c>
    </row>
    <row r="19" customFormat="false" ht="15" hidden="false" customHeight="false" outlineLevel="0" collapsed="false">
      <c r="A19" s="7" t="s">
        <v>25</v>
      </c>
      <c r="B19" s="8" t="n">
        <f aca="false">SUM(B16:B18)</f>
        <v>500</v>
      </c>
      <c r="C19" s="8" t="n">
        <f aca="false">SUM(C16:C18)</f>
        <v>560</v>
      </c>
    </row>
    <row r="20" customFormat="false" ht="15" hidden="false" customHeight="false" outlineLevel="0" collapsed="false">
      <c r="A20" s="3" t="s">
        <v>26</v>
      </c>
      <c r="B20" s="6" t="n">
        <v>600</v>
      </c>
      <c r="C20" s="6" t="n">
        <v>640</v>
      </c>
    </row>
    <row r="21" customFormat="false" ht="15" hidden="false" customHeight="false" outlineLevel="0" collapsed="false">
      <c r="A21" s="7" t="s">
        <v>27</v>
      </c>
      <c r="B21" s="8" t="n">
        <f aca="false">B19+B20</f>
        <v>1100</v>
      </c>
      <c r="C21" s="8" t="n">
        <f aca="false">C19+C20</f>
        <v>1200</v>
      </c>
    </row>
    <row r="22" customFormat="false" ht="15" hidden="false" customHeight="false" outlineLevel="0" collapsed="false">
      <c r="A22" s="3" t="s">
        <v>28</v>
      </c>
      <c r="B22" s="6" t="n">
        <v>130</v>
      </c>
      <c r="C22" s="6" t="n">
        <v>140</v>
      </c>
    </row>
    <row r="23" customFormat="false" ht="15" hidden="false" customHeight="false" outlineLevel="0" collapsed="false">
      <c r="A23" s="3" t="s">
        <v>29</v>
      </c>
      <c r="B23" s="6" t="n">
        <v>50</v>
      </c>
      <c r="C23" s="6" t="n">
        <v>60</v>
      </c>
    </row>
    <row r="24" customFormat="false" ht="15" hidden="false" customHeight="false" outlineLevel="0" collapsed="false">
      <c r="A24" s="7" t="s">
        <v>30</v>
      </c>
      <c r="B24" s="8" t="n">
        <f aca="false">B22+B23</f>
        <v>180</v>
      </c>
      <c r="C24" s="8" t="n">
        <f aca="false">C22+C23</f>
        <v>200</v>
      </c>
    </row>
    <row r="25" customFormat="false" ht="15" hidden="false" customHeight="false" outlineLevel="0" collapsed="false">
      <c r="A25" s="3" t="s">
        <v>31</v>
      </c>
      <c r="B25" s="6" t="n">
        <v>320</v>
      </c>
      <c r="C25" s="6" t="n">
        <v>300</v>
      </c>
    </row>
    <row r="26" customFormat="false" ht="15" hidden="false" customHeight="false" outlineLevel="0" collapsed="false">
      <c r="A26" s="7" t="s">
        <v>32</v>
      </c>
      <c r="B26" s="8" t="n">
        <f aca="false">B24+B25</f>
        <v>500</v>
      </c>
      <c r="C26" s="8" t="n">
        <f aca="false">C24+C25</f>
        <v>500</v>
      </c>
    </row>
    <row r="27" customFormat="false" ht="15" hidden="false" customHeight="false" outlineLevel="0" collapsed="false">
      <c r="A27" s="3" t="s">
        <v>33</v>
      </c>
      <c r="B27" s="6" t="n">
        <v>600</v>
      </c>
      <c r="C27" s="6" t="n">
        <v>700</v>
      </c>
    </row>
    <row r="28" customFormat="false" ht="15" hidden="false" customHeight="false" outlineLevel="0" collapsed="false">
      <c r="A28" s="7" t="s">
        <v>34</v>
      </c>
      <c r="B28" s="8" t="n">
        <f aca="false">B26+B27</f>
        <v>1100</v>
      </c>
      <c r="C28" s="8" t="n">
        <f aca="false">C26+C27</f>
        <v>1200</v>
      </c>
    </row>
    <row r="29" customFormat="false" ht="15" hidden="false" customHeight="false" outlineLevel="0" collapsed="false">
      <c r="A29" s="3" t="s">
        <v>35</v>
      </c>
      <c r="B29" s="9" t="n">
        <f aca="false">B21-B28</f>
        <v>0</v>
      </c>
      <c r="C29" s="9" t="n">
        <f aca="false">C21-C28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36</v>
      </c>
    </row>
    <row r="3" customFormat="false" ht="21.75" hidden="false" customHeight="true" outlineLevel="0" collapsed="false">
      <c r="A3" s="5" t="s">
        <v>37</v>
      </c>
      <c r="B3" s="5" t="s">
        <v>10</v>
      </c>
      <c r="C3" s="5" t="s">
        <v>11</v>
      </c>
      <c r="D3" s="5" t="s">
        <v>38</v>
      </c>
      <c r="E3" s="5" t="s">
        <v>39</v>
      </c>
    </row>
    <row r="4" customFormat="false" ht="15" hidden="false" customHeight="false" outlineLevel="0" collapsed="false">
      <c r="A4" s="3" t="s">
        <v>40</v>
      </c>
      <c r="B4" s="10" t="n">
        <f aca="false">Statements!B7/Statements!B5</f>
        <v>0.35</v>
      </c>
      <c r="C4" s="10" t="n">
        <f aca="false">Statements!C7/Statements!C5</f>
        <v>0.369565217391304</v>
      </c>
      <c r="D4" s="11" t="n">
        <f aca="false">C4-B4</f>
        <v>0.0195652173913043</v>
      </c>
      <c r="E4" s="3" t="str">
        <f aca="false">IF(ABS(D4)&lt;0.00005,"Flat",IF(D4&gt;0,"Up","Down"))</f>
        <v>Up</v>
      </c>
    </row>
    <row r="5" customFormat="false" ht="15" hidden="false" customHeight="false" outlineLevel="0" collapsed="false">
      <c r="A5" s="3" t="s">
        <v>41</v>
      </c>
      <c r="B5" s="10" t="n">
        <f aca="false">Statements!B9/Statements!B5</f>
        <v>0.125</v>
      </c>
      <c r="C5" s="10" t="n">
        <f aca="false">Statements!C9/Statements!C5</f>
        <v>0.143478260869565</v>
      </c>
      <c r="D5" s="11" t="n">
        <f aca="false">C5-B5</f>
        <v>0.0184782608695652</v>
      </c>
      <c r="E5" s="3" t="str">
        <f aca="false">IF(ABS(D5)&lt;0.00005,"Flat",IF(D5&gt;0,"Up","Down"))</f>
        <v>Up</v>
      </c>
    </row>
    <row r="6" customFormat="false" ht="15" hidden="false" customHeight="false" outlineLevel="0" collapsed="false">
      <c r="A6" s="3" t="s">
        <v>42</v>
      </c>
      <c r="B6" s="10" t="n">
        <f aca="false">Statements!B13/Statements!B5</f>
        <v>0.0825</v>
      </c>
      <c r="C6" s="10" t="n">
        <f aca="false">Statements!C13/Statements!C5</f>
        <v>0.0982608695652174</v>
      </c>
      <c r="D6" s="11" t="n">
        <f aca="false">C6-B6</f>
        <v>0.0157608695652174</v>
      </c>
      <c r="E6" s="3" t="str">
        <f aca="false">IF(ABS(D6)&lt;0.00005,"Flat",IF(D6&gt;0,"Up","Down"))</f>
        <v>Up</v>
      </c>
    </row>
    <row r="7" customFormat="false" ht="15" hidden="false" customHeight="false" outlineLevel="0" collapsed="false">
      <c r="A7" s="3" t="s">
        <v>43</v>
      </c>
      <c r="B7" s="12" t="n">
        <f aca="false">Statements!B19/Statements!B24</f>
        <v>2.77777777777778</v>
      </c>
      <c r="C7" s="12" t="n">
        <f aca="false">Statements!C19/Statements!C24</f>
        <v>2.8</v>
      </c>
      <c r="D7" s="13" t="n">
        <f aca="false">C7-B7</f>
        <v>0.0222222222222221</v>
      </c>
      <c r="E7" s="3" t="str">
        <f aca="false">IF(ABS(D7)&lt;0.00005,"Flat",IF(D7&gt;0,"Up","Down"))</f>
        <v>Up</v>
      </c>
    </row>
    <row r="8" customFormat="false" ht="15" hidden="false" customHeight="false" outlineLevel="0" collapsed="false">
      <c r="A8" s="3" t="s">
        <v>44</v>
      </c>
      <c r="B8" s="12" t="n">
        <f aca="false">(Statements!B16+Statements!B17)/Statements!B24</f>
        <v>1.44444444444444</v>
      </c>
      <c r="C8" s="12" t="n">
        <f aca="false">(Statements!C16+Statements!C17)/Statements!C24</f>
        <v>1.5</v>
      </c>
      <c r="D8" s="13" t="n">
        <f aca="false">C8-B8</f>
        <v>0.0555555555555556</v>
      </c>
      <c r="E8" s="3" t="str">
        <f aca="false">IF(ABS(D8)&lt;0.00005,"Flat",IF(D8&gt;0,"Up","Down"))</f>
        <v>Up</v>
      </c>
    </row>
    <row r="9" customFormat="false" ht="15" hidden="false" customHeight="false" outlineLevel="0" collapsed="false">
      <c r="A9" s="3" t="s">
        <v>45</v>
      </c>
      <c r="B9" s="12" t="n">
        <f aca="false">Statements!B26/Statements!B27</f>
        <v>0.833333333333333</v>
      </c>
      <c r="C9" s="12" t="n">
        <f aca="false">Statements!C26/Statements!C27</f>
        <v>0.714285714285714</v>
      </c>
      <c r="D9" s="13" t="n">
        <f aca="false">C9-B9</f>
        <v>-0.119047619047619</v>
      </c>
      <c r="E9" s="3" t="str">
        <f aca="false">IF(ABS(D9)&lt;0.00005,"Flat",IF(D9&gt;0,"Up","Down"))</f>
        <v>Down</v>
      </c>
    </row>
    <row r="10" customFormat="false" ht="15" hidden="false" customHeight="false" outlineLevel="0" collapsed="false">
      <c r="A10" s="3" t="s">
        <v>46</v>
      </c>
      <c r="B10" s="10" t="n">
        <f aca="false">Statements!B13/Statements!B27</f>
        <v>0.275</v>
      </c>
      <c r="C10" s="10" t="n">
        <f aca="false">Statements!C13/Statements!C27</f>
        <v>0.322857142857143</v>
      </c>
      <c r="D10" s="11" t="n">
        <f aca="false">C10-B10</f>
        <v>0.0478571428571428</v>
      </c>
      <c r="E10" s="3" t="str">
        <f aca="false">IF(ABS(D10)&lt;0.00005,"Flat",IF(D10&gt;0,"Up","Down"))</f>
        <v>Up</v>
      </c>
    </row>
    <row r="11" customFormat="false" ht="15" hidden="false" customHeight="false" outlineLevel="0" collapsed="false">
      <c r="A11" s="3" t="s">
        <v>47</v>
      </c>
      <c r="B11" s="12" t="n">
        <f aca="false">Statements!B6/Statements!B18</f>
        <v>5.41666666666667</v>
      </c>
      <c r="C11" s="12" t="n">
        <f aca="false">Statements!C6/Statements!C18</f>
        <v>5.57692307692308</v>
      </c>
      <c r="D11" s="13" t="n">
        <f aca="false">C11-B11</f>
        <v>0.16025641025641</v>
      </c>
      <c r="E11" s="3" t="str">
        <f aca="false">IF(ABS(D11)&lt;0.00005,"Flat",IF(D11&gt;0,"Up","Down"))</f>
        <v>Up</v>
      </c>
    </row>
    <row r="12" customFormat="false" ht="15" hidden="false" customHeight="false" outlineLevel="0" collapsed="false">
      <c r="A12" s="3" t="s">
        <v>48</v>
      </c>
      <c r="C12" s="10" t="n">
        <f aca="false">Statements!C5/Statements!B5-1</f>
        <v>0.15</v>
      </c>
    </row>
    <row r="14" customFormat="false" ht="15" hidden="false" customHeight="false" outlineLevel="0" collapsed="false">
      <c r="A14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2026-09-30T01:22:25Z</dcterms:created>
  <dc:creator>openpyxl</dc:creator>
  <dc:description/>
  <dc:language>en-US</dc:language>
  <cp:lastModifiedBy/>
  <dcterms:modified xsi:type="dcterms:W3CDTF">2026-09-30T01:22:25Z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