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Payroll Register" sheetId="2" state="visible" r:id="rId4"/>
    <sheet name="GL Postings" sheetId="3" state="visible" r:id="rId5"/>
    <sheet name="Reconcili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<sst xmlns="http://schemas.openxmlformats.org/spreadsheetml/2006/main" count="66" uniqueCount="66">
  <si>
    <t xml:space="preserve">Payroll Reconciliation (sample)</t>
  </si>
  <si>
    <t xml:space="preserve">Purpose: compare one pay period's payroll register to what was posted in the general ledger (GL), and flag differences to investigate.</t>
  </si>
  <si>
    <t xml:space="preserve">All data is FICTIONAL sample data created for practice. No real company, employee, or payroll information is used.</t>
  </si>
  <si>
    <t xml:space="preserve">Tabs: Payroll Register (source data + tax calculations), GL Postings (what the books show), Reconciliation (comparison and status).</t>
  </si>
  <si>
    <t xml:space="preserve">Colors: blue text = typed-in input values, black text = formulas, yellow fill = assumption cells you can change.</t>
  </si>
  <si>
    <t xml:space="preserve">Simplified assumptions: Social Security 6.2% and Medicare 1.45% for both employee and employer; no wage base limit, state taxes, or benefits.</t>
  </si>
  <si>
    <t xml:space="preserve">The sample GL contains one deliberate error (a bonus that was not posted) so the reconciliation has something to catch.</t>
  </si>
  <si>
    <t xml:space="preserve">Payroll Register - Pay Period Ending 2026-09-15 (fictional data)</t>
  </si>
  <si>
    <t xml:space="preserve">Social Security rate</t>
  </si>
  <si>
    <t xml:space="preserve">Medicare rate</t>
  </si>
  <si>
    <t xml:space="preserve">Employee ID</t>
  </si>
  <si>
    <t xml:space="preserve">Employee</t>
  </si>
  <si>
    <t xml:space="preserve">Gross Wages</t>
  </si>
  <si>
    <t xml:space="preserve">Federal Income Tax W/H</t>
  </si>
  <si>
    <t xml:space="preserve">Employee Social Security</t>
  </si>
  <si>
    <t xml:space="preserve">Employee Medicare</t>
  </si>
  <si>
    <t xml:space="preserve">Employer Social Security</t>
  </si>
  <si>
    <t xml:space="preserve">Employer Medicare</t>
  </si>
  <si>
    <t xml:space="preserve">Net Pay</t>
  </si>
  <si>
    <t xml:space="preserve">E101</t>
  </si>
  <si>
    <t xml:space="preserve">Employee 01</t>
  </si>
  <si>
    <t xml:space="preserve">E102</t>
  </si>
  <si>
    <t xml:space="preserve">Employee 02</t>
  </si>
  <si>
    <t xml:space="preserve">E103</t>
  </si>
  <si>
    <t xml:space="preserve">Employee 03</t>
  </si>
  <si>
    <t xml:space="preserve">E104</t>
  </si>
  <si>
    <t xml:space="preserve">Employee 04</t>
  </si>
  <si>
    <t xml:space="preserve">E105</t>
  </si>
  <si>
    <t xml:space="preserve">Employee 05</t>
  </si>
  <si>
    <t xml:space="preserve">E106</t>
  </si>
  <si>
    <t xml:space="preserve">Employee 06</t>
  </si>
  <si>
    <t xml:space="preserve">E107</t>
  </si>
  <si>
    <t xml:space="preserve">Employee 07</t>
  </si>
  <si>
    <t xml:space="preserve">E108</t>
  </si>
  <si>
    <t xml:space="preserve">Employee 08</t>
  </si>
  <si>
    <t xml:space="preserve">E109</t>
  </si>
  <si>
    <t xml:space="preserve">Employee 09</t>
  </si>
  <si>
    <t xml:space="preserve">E110</t>
  </si>
  <si>
    <t xml:space="preserve">Employee 10</t>
  </si>
  <si>
    <t xml:space="preserve">Total</t>
  </si>
  <si>
    <t xml:space="preserve">General Ledger Postings - same pay period (fictional data)</t>
  </si>
  <si>
    <t xml:space="preserve">GL Account</t>
  </si>
  <si>
    <t xml:space="preserve">Description</t>
  </si>
  <si>
    <t xml:space="preserve">Amount</t>
  </si>
  <si>
    <t xml:space="preserve">Wages Expense</t>
  </si>
  <si>
    <t xml:space="preserve">Gross wages posted to the GL</t>
  </si>
  <si>
    <t xml:space="preserve">Payroll Tax Expense</t>
  </si>
  <si>
    <t xml:space="preserve">Employer Social Security + Medicare</t>
  </si>
  <si>
    <t xml:space="preserve">Payroll Liabilities - Withholdings</t>
  </si>
  <si>
    <t xml:space="preserve">Federal W/H + employee Social Security + employee Medicare</t>
  </si>
  <si>
    <t xml:space="preserve">Note: amounts above are typed-in sample data (blue). In real work these come from the GL detail report.</t>
  </si>
  <si>
    <t xml:space="preserve">Reconciliation: Payroll Register vs. General Ledger</t>
  </si>
  <si>
    <t xml:space="preserve">Tolerance ($)</t>
  </si>
  <si>
    <t xml:space="preserve">Item</t>
  </si>
  <si>
    <t xml:space="preserve">Payroll Register</t>
  </si>
  <si>
    <t xml:space="preserve">General Ledger</t>
  </si>
  <si>
    <t xml:space="preserve">Variance (GL - Register)</t>
  </si>
  <si>
    <t xml:space="preserve">Status</t>
  </si>
  <si>
    <t xml:space="preserve">Gross wages</t>
  </si>
  <si>
    <t xml:space="preserve">Employer payroll taxes</t>
  </si>
  <si>
    <t xml:space="preserve">Employee withholdings</t>
  </si>
  <si>
    <t xml:space="preserve">Items to investigate</t>
  </si>
  <si>
    <t xml:space="preserve">Analyst notes (sample)</t>
  </si>
  <si>
    <t xml:space="preserve">Gross wages are lower in the GL than in the register. The difference equals one bonus payment that was paid through payroll but not posted.</t>
  </si>
  <si>
    <t xml:space="preserve">Suggested fix: an adjusting journal entry, debit Wages Expense and credit the payroll clearing/cash account for the variance amount.</t>
  </si>
  <si>
    <t xml:space="preserve">Prevention: reconcile each payroll run to the GL before closing the period, and review any variance above the tolerance.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</si>
</sst>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4243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424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14"/>
  </cols>
  <sheetData>
    <row r="1" customFormat="false" ht="17.35" hidden="false" customHeight="false" outlineLevel="0" collapsed="false">
      <c r="A1" s="1" t="s">
        <v>7</v>
      </c>
    </row>
    <row r="3" customFormat="false" ht="15" hidden="false" customHeight="false" outlineLevel="0" collapsed="false">
      <c r="A3" s="3" t="s">
        <v>8</v>
      </c>
      <c r="B3" s="4" t="n">
        <v>0.062</v>
      </c>
    </row>
    <row r="4" customFormat="false" ht="15" hidden="false" customHeight="false" outlineLevel="0" collapsed="false">
      <c r="A4" s="3" t="s">
        <v>9</v>
      </c>
      <c r="B4" s="4" t="n">
        <v>0.0145</v>
      </c>
    </row>
    <row r="6" customFormat="false" ht="31.5" hidden="false" customHeight="true" outlineLevel="0" collapsed="false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17</v>
      </c>
      <c r="I6" s="5" t="s">
        <v>18</v>
      </c>
    </row>
    <row r="7" customFormat="false" ht="15" hidden="false" customHeight="false" outlineLevel="0" collapsed="false">
      <c r="A7" s="6" t="s">
        <v>19</v>
      </c>
      <c r="B7" s="6" t="s">
        <v>20</v>
      </c>
      <c r="C7" s="7" t="n">
        <v>4200</v>
      </c>
      <c r="D7" s="7" t="n">
        <v>520</v>
      </c>
      <c r="E7" s="8" t="n">
        <f aca="false">ROUND(C7*$B$3,2)</f>
        <v>260.4</v>
      </c>
      <c r="F7" s="8" t="n">
        <f aca="false">ROUND(C7*$B$4,2)</f>
        <v>60.9</v>
      </c>
      <c r="G7" s="8" t="n">
        <f aca="false">ROUND(C7*$B$3,2)</f>
        <v>260.4</v>
      </c>
      <c r="H7" s="8" t="n">
        <f aca="false">ROUND(C7*$B$4,2)</f>
        <v>60.9</v>
      </c>
      <c r="I7" s="8" t="n">
        <f aca="false">C7-D7-E7-F7</f>
        <v>3358.7</v>
      </c>
    </row>
    <row r="8" customFormat="false" ht="15" hidden="false" customHeight="false" outlineLevel="0" collapsed="false">
      <c r="A8" s="6" t="s">
        <v>21</v>
      </c>
      <c r="B8" s="6" t="s">
        <v>22</v>
      </c>
      <c r="C8" s="7" t="n">
        <v>3850</v>
      </c>
      <c r="D8" s="7" t="n">
        <v>430</v>
      </c>
      <c r="E8" s="8" t="n">
        <f aca="false">ROUND(C8*$B$3,2)</f>
        <v>238.7</v>
      </c>
      <c r="F8" s="8" t="n">
        <f aca="false">ROUND(C8*$B$4,2)</f>
        <v>55.83</v>
      </c>
      <c r="G8" s="8" t="n">
        <f aca="false">ROUND(C8*$B$3,2)</f>
        <v>238.7</v>
      </c>
      <c r="H8" s="8" t="n">
        <f aca="false">ROUND(C8*$B$4,2)</f>
        <v>55.83</v>
      </c>
      <c r="I8" s="8" t="n">
        <f aca="false">C8-D8-E8-F8</f>
        <v>3125.47</v>
      </c>
    </row>
    <row r="9" customFormat="false" ht="15" hidden="false" customHeight="false" outlineLevel="0" collapsed="false">
      <c r="A9" s="6" t="s">
        <v>23</v>
      </c>
      <c r="B9" s="6" t="s">
        <v>24</v>
      </c>
      <c r="C9" s="7" t="n">
        <v>5100</v>
      </c>
      <c r="D9" s="7" t="n">
        <v>690</v>
      </c>
      <c r="E9" s="8" t="n">
        <f aca="false">ROUND(C9*$B$3,2)</f>
        <v>316.2</v>
      </c>
      <c r="F9" s="8" t="n">
        <f aca="false">ROUND(C9*$B$4,2)</f>
        <v>73.95</v>
      </c>
      <c r="G9" s="8" t="n">
        <f aca="false">ROUND(C9*$B$3,2)</f>
        <v>316.2</v>
      </c>
      <c r="H9" s="8" t="n">
        <f aca="false">ROUND(C9*$B$4,2)</f>
        <v>73.95</v>
      </c>
      <c r="I9" s="8" t="n">
        <f aca="false">C9-D9-E9-F9</f>
        <v>4019.85</v>
      </c>
    </row>
    <row r="10" customFormat="false" ht="15" hidden="false" customHeight="false" outlineLevel="0" collapsed="false">
      <c r="A10" s="6" t="s">
        <v>25</v>
      </c>
      <c r="B10" s="6" t="s">
        <v>26</v>
      </c>
      <c r="C10" s="7" t="n">
        <v>2900</v>
      </c>
      <c r="D10" s="7" t="n">
        <v>260</v>
      </c>
      <c r="E10" s="8" t="n">
        <f aca="false">ROUND(C10*$B$3,2)</f>
        <v>179.8</v>
      </c>
      <c r="F10" s="8" t="n">
        <f aca="false">ROUND(C10*$B$4,2)</f>
        <v>42.05</v>
      </c>
      <c r="G10" s="8" t="n">
        <f aca="false">ROUND(C10*$B$3,2)</f>
        <v>179.8</v>
      </c>
      <c r="H10" s="8" t="n">
        <f aca="false">ROUND(C10*$B$4,2)</f>
        <v>42.05</v>
      </c>
      <c r="I10" s="8" t="n">
        <f aca="false">C10-D10-E10-F10</f>
        <v>2418.15</v>
      </c>
    </row>
    <row r="11" customFormat="false" ht="15" hidden="false" customHeight="false" outlineLevel="0" collapsed="false">
      <c r="A11" s="6" t="s">
        <v>27</v>
      </c>
      <c r="B11" s="6" t="s">
        <v>28</v>
      </c>
      <c r="C11" s="7" t="n">
        <v>4600</v>
      </c>
      <c r="D11" s="7" t="n">
        <v>585</v>
      </c>
      <c r="E11" s="8" t="n">
        <f aca="false">ROUND(C11*$B$3,2)</f>
        <v>285.2</v>
      </c>
      <c r="F11" s="8" t="n">
        <f aca="false">ROUND(C11*$B$4,2)</f>
        <v>66.7</v>
      </c>
      <c r="G11" s="8" t="n">
        <f aca="false">ROUND(C11*$B$3,2)</f>
        <v>285.2</v>
      </c>
      <c r="H11" s="8" t="n">
        <f aca="false">ROUND(C11*$B$4,2)</f>
        <v>66.7</v>
      </c>
      <c r="I11" s="8" t="n">
        <f aca="false">C11-D11-E11-F11</f>
        <v>3663.1</v>
      </c>
    </row>
    <row r="12" customFormat="false" ht="15" hidden="false" customHeight="false" outlineLevel="0" collapsed="false">
      <c r="A12" s="6" t="s">
        <v>29</v>
      </c>
      <c r="B12" s="6" t="s">
        <v>30</v>
      </c>
      <c r="C12" s="7" t="n">
        <v>6200</v>
      </c>
      <c r="D12" s="7" t="n">
        <v>880</v>
      </c>
      <c r="E12" s="8" t="n">
        <f aca="false">ROUND(C12*$B$3,2)</f>
        <v>384.4</v>
      </c>
      <c r="F12" s="8" t="n">
        <f aca="false">ROUND(C12*$B$4,2)</f>
        <v>89.9</v>
      </c>
      <c r="G12" s="8" t="n">
        <f aca="false">ROUND(C12*$B$3,2)</f>
        <v>384.4</v>
      </c>
      <c r="H12" s="8" t="n">
        <f aca="false">ROUND(C12*$B$4,2)</f>
        <v>89.9</v>
      </c>
      <c r="I12" s="8" t="n">
        <f aca="false">C12-D12-E12-F12</f>
        <v>4845.7</v>
      </c>
    </row>
    <row r="13" customFormat="false" ht="15" hidden="false" customHeight="false" outlineLevel="0" collapsed="false">
      <c r="A13" s="6" t="s">
        <v>31</v>
      </c>
      <c r="B13" s="6" t="s">
        <v>32</v>
      </c>
      <c r="C13" s="7" t="n">
        <v>3300</v>
      </c>
      <c r="D13" s="7" t="n">
        <v>335</v>
      </c>
      <c r="E13" s="8" t="n">
        <f aca="false">ROUND(C13*$B$3,2)</f>
        <v>204.6</v>
      </c>
      <c r="F13" s="8" t="n">
        <f aca="false">ROUND(C13*$B$4,2)</f>
        <v>47.85</v>
      </c>
      <c r="G13" s="8" t="n">
        <f aca="false">ROUND(C13*$B$3,2)</f>
        <v>204.6</v>
      </c>
      <c r="H13" s="8" t="n">
        <f aca="false">ROUND(C13*$B$4,2)</f>
        <v>47.85</v>
      </c>
      <c r="I13" s="8" t="n">
        <f aca="false">C13-D13-E13-F13</f>
        <v>2712.55</v>
      </c>
    </row>
    <row r="14" customFormat="false" ht="15" hidden="false" customHeight="false" outlineLevel="0" collapsed="false">
      <c r="A14" s="6" t="s">
        <v>33</v>
      </c>
      <c r="B14" s="6" t="s">
        <v>34</v>
      </c>
      <c r="C14" s="7" t="n">
        <v>3950</v>
      </c>
      <c r="D14" s="7" t="n">
        <v>445</v>
      </c>
      <c r="E14" s="8" t="n">
        <f aca="false">ROUND(C14*$B$3,2)</f>
        <v>244.9</v>
      </c>
      <c r="F14" s="8" t="n">
        <f aca="false">ROUND(C14*$B$4,2)</f>
        <v>57.28</v>
      </c>
      <c r="G14" s="8" t="n">
        <f aca="false">ROUND(C14*$B$3,2)</f>
        <v>244.9</v>
      </c>
      <c r="H14" s="8" t="n">
        <f aca="false">ROUND(C14*$B$4,2)</f>
        <v>57.28</v>
      </c>
      <c r="I14" s="8" t="n">
        <f aca="false">C14-D14-E14-F14</f>
        <v>3202.82</v>
      </c>
    </row>
    <row r="15" customFormat="false" ht="15" hidden="false" customHeight="false" outlineLevel="0" collapsed="false">
      <c r="A15" s="6" t="s">
        <v>35</v>
      </c>
      <c r="B15" s="6" t="s">
        <v>36</v>
      </c>
      <c r="C15" s="7" t="n">
        <v>4800</v>
      </c>
      <c r="D15" s="7" t="n">
        <v>640</v>
      </c>
      <c r="E15" s="8" t="n">
        <f aca="false">ROUND(C15*$B$3,2)</f>
        <v>297.6</v>
      </c>
      <c r="F15" s="8" t="n">
        <f aca="false">ROUND(C15*$B$4,2)</f>
        <v>69.6</v>
      </c>
      <c r="G15" s="8" t="n">
        <f aca="false">ROUND(C15*$B$3,2)</f>
        <v>297.6</v>
      </c>
      <c r="H15" s="8" t="n">
        <f aca="false">ROUND(C15*$B$4,2)</f>
        <v>69.6</v>
      </c>
      <c r="I15" s="8" t="n">
        <f aca="false">C15-D15-E15-F15</f>
        <v>3792.8</v>
      </c>
    </row>
    <row r="16" customFormat="false" ht="15" hidden="false" customHeight="false" outlineLevel="0" collapsed="false">
      <c r="A16" s="6" t="s">
        <v>37</v>
      </c>
      <c r="B16" s="6" t="s">
        <v>38</v>
      </c>
      <c r="C16" s="7" t="n">
        <v>5400</v>
      </c>
      <c r="D16" s="7" t="n">
        <v>745</v>
      </c>
      <c r="E16" s="8" t="n">
        <f aca="false">ROUND(C16*$B$3,2)</f>
        <v>334.8</v>
      </c>
      <c r="F16" s="8" t="n">
        <f aca="false">ROUND(C16*$B$4,2)</f>
        <v>78.3</v>
      </c>
      <c r="G16" s="8" t="n">
        <f aca="false">ROUND(C16*$B$3,2)</f>
        <v>334.8</v>
      </c>
      <c r="H16" s="8" t="n">
        <f aca="false">ROUND(C16*$B$4,2)</f>
        <v>78.3</v>
      </c>
      <c r="I16" s="8" t="n">
        <f aca="false">C16-D16-E16-F16</f>
        <v>4241.9</v>
      </c>
    </row>
    <row r="17" customFormat="false" ht="15" hidden="false" customHeight="false" outlineLevel="0" collapsed="false">
      <c r="B17" s="9" t="s">
        <v>39</v>
      </c>
      <c r="C17" s="10" t="n">
        <f aca="false">SUM(C7:C16)</f>
        <v>44300</v>
      </c>
      <c r="D17" s="10" t="n">
        <f aca="false">SUM(D7:D16)</f>
        <v>5530</v>
      </c>
      <c r="E17" s="10" t="n">
        <f aca="false">SUM(E7:E16)</f>
        <v>2746.6</v>
      </c>
      <c r="F17" s="10" t="n">
        <f aca="false">SUM(F7:F16)</f>
        <v>642.36</v>
      </c>
      <c r="G17" s="10" t="n">
        <f aca="false">SUM(G7:G16)</f>
        <v>2746.6</v>
      </c>
      <c r="H17" s="10" t="n">
        <f aca="false">SUM(H7:H16)</f>
        <v>642.36</v>
      </c>
      <c r="I17" s="10" t="n">
        <f aca="false">SUM(I7:I16)</f>
        <v>35381.04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58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40</v>
      </c>
    </row>
    <row r="3" customFormat="false" ht="15" hidden="false" customHeight="false" outlineLevel="0" collapsed="false">
      <c r="A3" s="5" t="s">
        <v>41</v>
      </c>
      <c r="B3" s="5" t="s">
        <v>42</v>
      </c>
      <c r="C3" s="5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7" t="n">
        <v>43050</v>
      </c>
    </row>
    <row r="5" customFormat="false" ht="15" hidden="false" customHeight="false" outlineLevel="0" collapsed="false">
      <c r="A5" s="3" t="s">
        <v>46</v>
      </c>
      <c r="B5" s="3" t="s">
        <v>47</v>
      </c>
      <c r="C5" s="7" t="n">
        <v>3388.96</v>
      </c>
    </row>
    <row r="6" customFormat="false" ht="15" hidden="false" customHeight="false" outlineLevel="0" collapsed="false">
      <c r="A6" s="3" t="s">
        <v>48</v>
      </c>
      <c r="B6" s="3" t="s">
        <v>49</v>
      </c>
      <c r="C6" s="7" t="n">
        <v>8918.96</v>
      </c>
    </row>
    <row r="8" customFormat="false" ht="15" hidden="false" customHeight="false" outlineLevel="0" collapsed="false">
      <c r="A8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  <col collapsed="false" customWidth="true" hidden="false" outlineLevel="0" max="4" min="4" style="0" width="2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3" t="s">
        <v>52</v>
      </c>
      <c r="B2" s="11" t="n">
        <v>0.01</v>
      </c>
    </row>
    <row r="4" customFormat="false" ht="31.5" hidden="false" customHeight="true" outlineLevel="0" collapsed="false">
      <c r="A4" s="5" t="s">
        <v>53</v>
      </c>
      <c r="B4" s="5" t="s">
        <v>54</v>
      </c>
      <c r="C4" s="5" t="s">
        <v>55</v>
      </c>
      <c r="D4" s="5" t="s">
        <v>56</v>
      </c>
      <c r="E4" s="5" t="s">
        <v>57</v>
      </c>
    </row>
    <row r="5" customFormat="false" ht="15" hidden="false" customHeight="false" outlineLevel="0" collapsed="false">
      <c r="A5" s="3" t="s">
        <v>58</v>
      </c>
      <c r="B5" s="12" t="n">
        <f aca="false">'Payroll Register'!C17</f>
        <v>44300</v>
      </c>
      <c r="C5" s="12" t="n">
        <f aca="false">'GL Postings'!C4</f>
        <v>43050</v>
      </c>
      <c r="D5" s="8" t="n">
        <f aca="false">C5-B5</f>
        <v>-1250</v>
      </c>
      <c r="E5" s="9" t="str">
        <f aca="false">IF(ABS(D5)&lt;=$B$2,"Matches","Investigate")</f>
        <v>Investigate</v>
      </c>
    </row>
    <row r="6" customFormat="false" ht="15" hidden="false" customHeight="false" outlineLevel="0" collapsed="false">
      <c r="A6" s="3" t="s">
        <v>59</v>
      </c>
      <c r="B6" s="12" t="n">
        <f aca="false">'Payroll Register'!G17+'Payroll Register'!H17</f>
        <v>3388.96</v>
      </c>
      <c r="C6" s="12" t="n">
        <f aca="false">'GL Postings'!C5</f>
        <v>3388.96</v>
      </c>
      <c r="D6" s="8" t="n">
        <f aca="false">C6-B6</f>
        <v>0</v>
      </c>
      <c r="E6" s="9" t="str">
        <f aca="false">IF(ABS(D6)&lt;=$B$2,"Matches","Investigate")</f>
        <v>Matches</v>
      </c>
    </row>
    <row r="7" customFormat="false" ht="15" hidden="false" customHeight="false" outlineLevel="0" collapsed="false">
      <c r="A7" s="3" t="s">
        <v>60</v>
      </c>
      <c r="B7" s="12" t="n">
        <f aca="false">'Payroll Register'!D17+'Payroll Register'!E17+'Payroll Register'!F17</f>
        <v>8918.96</v>
      </c>
      <c r="C7" s="12" t="n">
        <f aca="false">'GL Postings'!C6</f>
        <v>8918.96</v>
      </c>
      <c r="D7" s="8" t="n">
        <f aca="false">C7-B7</f>
        <v>0</v>
      </c>
      <c r="E7" s="9" t="str">
        <f aca="false">IF(ABS(D7)&lt;=$B$2,"Matches","Investigate")</f>
        <v>Matches</v>
      </c>
    </row>
    <row r="9" customFormat="false" ht="15" hidden="false" customHeight="false" outlineLevel="0" collapsed="false">
      <c r="A9" s="9" t="s">
        <v>61</v>
      </c>
      <c r="B9" s="9" t="n">
        <f aca="false">COUNTIF(E5:E7,"Investigate")</f>
        <v>1</v>
      </c>
    </row>
    <row r="11" customFormat="false" ht="15" hidden="false" customHeight="false" outlineLevel="0" collapsed="false">
      <c r="A11" s="9" t="s">
        <v>62</v>
      </c>
    </row>
    <row r="12" customFormat="false" ht="15" hidden="false" customHeight="false" outlineLevel="0" collapsed="false">
      <c r="A12" s="3" t="s">
        <v>63</v>
      </c>
    </row>
    <row r="13" customFormat="false" ht="15" hidden="false" customHeight="false" outlineLevel="0" collapsed="false">
      <c r="A13" s="3" t="s">
        <v>64</v>
      </c>
    </row>
    <row r="14" customFormat="false" ht="15" hidden="false" customHeight="false" outlineLevel="0" collapsed="false">
      <c r="A14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2026-09-30T01:22:25Z</dcterms:created>
  <dc:creator>openpyxl</dc:creator>
  <dc:description/>
  <dc:language>en-US</dc:language>
  <cp:lastModifiedBy/>
  <dcterms:modified xsi:type="dcterms:W3CDTF">2026-09-30T01:22:25Z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